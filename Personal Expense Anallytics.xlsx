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f3b73ed0bb1d81/Documents/Data Analytics Projects/"/>
    </mc:Choice>
  </mc:AlternateContent>
  <xr:revisionPtr revIDLastSave="0" documentId="8_{9C646DA6-77B8-42C8-80F7-FC6E304002D9}" xr6:coauthVersionLast="47" xr6:coauthVersionMax="47" xr10:uidLastSave="{00000000-0000-0000-0000-000000000000}"/>
  <bookViews>
    <workbookView xWindow="-120" yWindow="-120" windowWidth="29040" windowHeight="17520" xr2:uid="{99E2646C-1277-4B30-A22D-BD073416D1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13" i="1"/>
  <c r="G12" i="1"/>
  <c r="G11" i="1"/>
  <c r="G10" i="1"/>
  <c r="G6" i="1"/>
  <c r="G5" i="1"/>
  <c r="G4" i="1"/>
  <c r="G3" i="1"/>
</calcChain>
</file>

<file path=xl/sharedStrings.xml><?xml version="1.0" encoding="utf-8"?>
<sst xmlns="http://schemas.openxmlformats.org/spreadsheetml/2006/main" count="89" uniqueCount="33">
  <si>
    <t>Date</t>
  </si>
  <si>
    <t>Category</t>
  </si>
  <si>
    <t>Expense</t>
  </si>
  <si>
    <t>Payment Mode</t>
  </si>
  <si>
    <t>UPI</t>
  </si>
  <si>
    <t>Travel</t>
  </si>
  <si>
    <t>Cash</t>
  </si>
  <si>
    <t>Shopping</t>
  </si>
  <si>
    <t>Net Banking</t>
  </si>
  <si>
    <t>Entertainment</t>
  </si>
  <si>
    <t>Summary</t>
  </si>
  <si>
    <t>Total  Expense</t>
  </si>
  <si>
    <t>Highest Expense</t>
  </si>
  <si>
    <t>Lowest Expense</t>
  </si>
  <si>
    <t>Total  Transactions</t>
  </si>
  <si>
    <t>Food &amp; Dining</t>
  </si>
  <si>
    <t>Transportation</t>
  </si>
  <si>
    <t>Grocery</t>
  </si>
  <si>
    <t>Debit Card</t>
  </si>
  <si>
    <t>Credit Card</t>
  </si>
  <si>
    <t>Utilities</t>
  </si>
  <si>
    <t>Healthcare</t>
  </si>
  <si>
    <t>Education</t>
  </si>
  <si>
    <t>Subscription</t>
  </si>
  <si>
    <t>Rent</t>
  </si>
  <si>
    <t>Total Expense</t>
  </si>
  <si>
    <t>Insights</t>
  </si>
  <si>
    <t>Highest spending category: Shopping</t>
  </si>
  <si>
    <t>Total monthly expense: 41457</t>
  </si>
  <si>
    <t>Highest single expense: Rent (8000)</t>
  </si>
  <si>
    <t>Most used payment method: Credit Card/UPI</t>
  </si>
  <si>
    <t>Transportation expenses are comparatively low</t>
  </si>
  <si>
    <t>📊 Personal Finance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</si>
</sst>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16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/>
    <xf numFmtId="0" fontId="0" fillId="6" borderId="2" xfId="0" applyFill="1" applyBorder="1"/>
    <xf numFmtId="0" fontId="5" fillId="7" borderId="0" xfId="0" applyFont="1" applyFill="1" applyBorder="1" applyAlignment="1">
      <alignment horizontal="center" vertical="top" wrapText="1"/>
    </xf>
    <xf numFmtId="0" fontId="0" fillId="0" borderId="0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Sheet1!$G$9</c:f>
              <c:strCache>
                <c:ptCount val="1"/>
                <c:pt idx="0">
                  <c:v>Total Expense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Sheet1!$F$10:$F$20</c:f>
              <c:strCache>
                <c:ptCount val="11"/>
                <c:pt idx="0">
                  <c:v>Food &amp; Dining</c:v>
                </c:pt>
                <c:pt idx="1">
                  <c:v>Transportation</c:v>
                </c:pt>
                <c:pt idx="2">
                  <c:v>Grocery</c:v>
                </c:pt>
                <c:pt idx="3">
                  <c:v>Utilities</c:v>
                </c:pt>
                <c:pt idx="4">
                  <c:v>Entertainment</c:v>
                </c:pt>
                <c:pt idx="5">
                  <c:v>Healthcare</c:v>
                </c:pt>
                <c:pt idx="6">
                  <c:v>Shopping</c:v>
                </c:pt>
                <c:pt idx="7">
                  <c:v>Subscription</c:v>
                </c:pt>
                <c:pt idx="8">
                  <c:v>Education</c:v>
                </c:pt>
                <c:pt idx="9">
                  <c:v>Rent</c:v>
                </c:pt>
                <c:pt idx="10">
                  <c:v>Travel</c:v>
                </c:pt>
              </c:strCache>
            </c:strRef>
          </c:cat>
          <c:val>
            <c:numRef>
              <c:f>Sheet1!$G$10:$G$20</c:f>
              <c:numCache>
                <c:formatCode>General</c:formatCode>
                <c:ptCount val="11"/>
                <c:pt idx="0">
                  <c:v>2420</c:v>
                </c:pt>
                <c:pt idx="1">
                  <c:v>960</c:v>
                </c:pt>
                <c:pt idx="2">
                  <c:v>5030</c:v>
                </c:pt>
                <c:pt idx="3">
                  <c:v>3199</c:v>
                </c:pt>
                <c:pt idx="4">
                  <c:v>2500</c:v>
                </c:pt>
                <c:pt idx="5">
                  <c:v>3550</c:v>
                </c:pt>
                <c:pt idx="6">
                  <c:v>9600</c:v>
                </c:pt>
                <c:pt idx="7">
                  <c:v>1198</c:v>
                </c:pt>
                <c:pt idx="8">
                  <c:v>1800</c:v>
                </c:pt>
                <c:pt idx="9">
                  <c:v>8000</c:v>
                </c:pt>
                <c:pt idx="1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3-44FE-981B-16BF3CBB0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Category-wise Expense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Sheet1!$F$10</c:f>
              <c:strCache>
                <c:ptCount val="1"/>
                <c:pt idx="0">
                  <c:v>Food &amp; Dining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Sheet1!$G$10</c:f>
              <c:numCache>
                <c:formatCode>General</c:formatCode>
                <c:ptCount val="1"/>
                <c:pt idx="0">
                  <c:v>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A-48E4-AAE8-22AFC0424690}"/>
            </c:ext>
          </c:extLst>
        </c:ser>
        <c:ser>
          <c:idx val="1"/>
          <c:order val="1"/>
          <c:tx>
            <c:strRef>
              <c:f>Sheet1!$F$11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Sheet1!$G$11</c:f>
              <c:numCache>
                <c:formatCode>General</c:formatCode>
                <c:ptCount val="1"/>
                <c:pt idx="0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A-48E4-AAE8-22AFC0424690}"/>
            </c:ext>
          </c:extLst>
        </c:ser>
        <c:ser>
          <c:idx val="2"/>
          <c:order val="2"/>
          <c:tx>
            <c:strRef>
              <c:f>Sheet1!$F$12</c:f>
              <c:strCache>
                <c:ptCount val="1"/>
                <c:pt idx="0">
                  <c:v>Grocery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Sheet1!$G$12</c:f>
              <c:numCache>
                <c:formatCode>General</c:formatCode>
                <c:ptCount val="1"/>
                <c:pt idx="0">
                  <c:v>5030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A-48E4-AAE8-22AFC0424690}"/>
            </c:ext>
          </c:extLst>
        </c:ser>
        <c:ser>
          <c:idx val="3"/>
          <c:order val="3"/>
          <c:tx>
            <c:strRef>
              <c:f>Sheet1!$F$13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Sheet1!$G$13</c:f>
              <c:numCache>
                <c:formatCode>General</c:formatCode>
                <c:ptCount val="1"/>
                <c:pt idx="0">
                  <c:v>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8A-48E4-AAE8-22AFC0424690}"/>
            </c:ext>
          </c:extLst>
        </c:ser>
        <c:ser>
          <c:idx val="4"/>
          <c:order val="4"/>
          <c:tx>
            <c:strRef>
              <c:f>Sheet1!$F$14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Sheet1!$G$14</c:f>
              <c:numCache>
                <c:formatCode>General</c:formatCode>
                <c:ptCount val="1"/>
                <c:pt idx="0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A-48E4-AAE8-22AFC0424690}"/>
            </c:ext>
          </c:extLst>
        </c:ser>
        <c:ser>
          <c:idx val="5"/>
          <c:order val="5"/>
          <c:tx>
            <c:strRef>
              <c:f>Sheet1!$F$15</c:f>
              <c:strCache>
                <c:ptCount val="1"/>
                <c:pt idx="0">
                  <c:v>Healthcare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Sheet1!$G$15</c:f>
              <c:numCache>
                <c:formatCode>General</c:formatCode>
                <c:ptCount val="1"/>
                <c:pt idx="0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18A-48E4-AAE8-22AFC0424690}"/>
            </c:ext>
          </c:extLst>
        </c:ser>
        <c:ser>
          <c:idx val="6"/>
          <c:order val="6"/>
          <c:tx>
            <c:strRef>
              <c:f>Sheet1!$F$16</c:f>
              <c:strCache>
                <c:ptCount val="1"/>
                <c:pt idx="0">
                  <c:v>Shopping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Sheet1!$G$16</c:f>
              <c:numCache>
                <c:formatCode>General</c:formatCode>
                <c:ptCount val="1"/>
                <c:pt idx="0">
                  <c:v>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8A-48E4-AAE8-22AFC0424690}"/>
            </c:ext>
          </c:extLst>
        </c:ser>
        <c:ser>
          <c:idx val="7"/>
          <c:order val="7"/>
          <c:tx>
            <c:strRef>
              <c:f>Sheet1!$F$17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Sheet1!$G$17</c:f>
              <c:numCache>
                <c:formatCode>General</c:formatCode>
                <c:ptCount val="1"/>
                <c:pt idx="0">
                  <c:v>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8A-48E4-AAE8-22AFC0424690}"/>
            </c:ext>
          </c:extLst>
        </c:ser>
        <c:ser>
          <c:idx val="8"/>
          <c:order val="8"/>
          <c:tx>
            <c:strRef>
              <c:f>Sheet1!$F$18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Sheet1!$G$18</c:f>
              <c:numCache>
                <c:formatCode>General</c:formatCode>
                <c:ptCount val="1"/>
                <c:pt idx="0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8A-48E4-AAE8-22AFC0424690}"/>
            </c:ext>
          </c:extLst>
        </c:ser>
        <c:ser>
          <c:idx val="9"/>
          <c:order val="9"/>
          <c:tx>
            <c:strRef>
              <c:f>Sheet1!$F$19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Sheet1!$G$19</c:f>
              <c:numCache>
                <c:formatCode>General</c:formatCode>
                <c:ptCount val="1"/>
                <c:pt idx="0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8A-48E4-AAE8-22AFC0424690}"/>
            </c:ext>
          </c:extLst>
        </c:ser>
        <c:ser>
          <c:idx val="10"/>
          <c:order val="10"/>
          <c:tx>
            <c:strRef>
              <c:f>Sheet1!$F$20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val>
            <c:numRef>
              <c:f>Sheet1!$G$20</c:f>
              <c:numCache>
                <c:formatCode>General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8A-48E4-AAE8-22AFC0424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6679471"/>
        <c:axId val="866681871"/>
        <c:axId val="0"/>
      </c:bar3DChart>
      <c:catAx>
        <c:axId val="8666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81871"/>
        <c:crosses val="autoZero"/>
        <c:auto val="1"/>
        <c:lblAlgn val="ctr"/>
        <c:lblOffset val="100"/>
        <c:noMultiLvlLbl val="0"/>
      </c:catAx>
      <c:valAx>
        <c:axId val="86668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67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42862</xdr:rowOff>
    </xdr:from>
    <xdr:to>
      <xdr:col>15</xdr:col>
      <xdr:colOff>323850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C4AE81-88C7-5980-2A4F-188C49B6E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4762</xdr:rowOff>
    </xdr:from>
    <xdr:to>
      <xdr:col>15</xdr:col>
      <xdr:colOff>304800</xdr:colOff>
      <xdr:row>32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B8D035-237D-6017-2F04-A16F23571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337D-FE4A-49DD-B197-07C999F45365}">
  <dimension ref="A1:R32"/>
  <sheetViews>
    <sheetView tabSelected="1" workbookViewId="0">
      <selection activeCell="R22" sqref="R22"/>
    </sheetView>
  </sheetViews>
  <sheetFormatPr defaultRowHeight="15" x14ac:dyDescent="0.25"/>
  <cols>
    <col min="1" max="1" width="13.28515625" customWidth="1"/>
    <col min="2" max="2" width="18.5703125" customWidth="1"/>
    <col min="3" max="3" width="18.42578125" customWidth="1"/>
    <col min="4" max="4" width="18.28515625" customWidth="1"/>
    <col min="6" max="6" width="18.42578125" customWidth="1"/>
    <col min="7" max="7" width="18.28515625" customWidth="1"/>
  </cols>
  <sheetData>
    <row r="1" spans="1:18" ht="26.25" x14ac:dyDescent="0.4">
      <c r="A1" s="3" t="s">
        <v>32</v>
      </c>
      <c r="B1" s="3"/>
      <c r="C1" s="3"/>
      <c r="D1" s="3"/>
    </row>
    <row r="2" spans="1:18" ht="23.25" customHeight="1" x14ac:dyDescent="0.25">
      <c r="A2" s="5" t="s">
        <v>0</v>
      </c>
      <c r="B2" s="5" t="s">
        <v>1</v>
      </c>
      <c r="C2" s="5" t="s">
        <v>2</v>
      </c>
      <c r="D2" s="5" t="s">
        <v>3</v>
      </c>
      <c r="F2" s="12" t="s">
        <v>10</v>
      </c>
      <c r="G2" s="13"/>
    </row>
    <row r="3" spans="1:18" x14ac:dyDescent="0.25">
      <c r="A3" s="6">
        <v>46113</v>
      </c>
      <c r="B3" s="7" t="s">
        <v>15</v>
      </c>
      <c r="C3" s="7">
        <v>320</v>
      </c>
      <c r="D3" s="7" t="s">
        <v>4</v>
      </c>
      <c r="F3" s="11" t="s">
        <v>11</v>
      </c>
      <c r="G3" s="11">
        <f>SUM(C3:C32)</f>
        <v>41457</v>
      </c>
    </row>
    <row r="4" spans="1:18" x14ac:dyDescent="0.25">
      <c r="A4" s="6">
        <v>46114</v>
      </c>
      <c r="B4" s="7" t="s">
        <v>16</v>
      </c>
      <c r="C4" s="7">
        <v>180</v>
      </c>
      <c r="D4" s="7" t="s">
        <v>6</v>
      </c>
      <c r="F4" s="10" t="s">
        <v>12</v>
      </c>
      <c r="G4" s="10">
        <f>MAX(C3:C32)</f>
        <v>8000</v>
      </c>
    </row>
    <row r="5" spans="1:18" x14ac:dyDescent="0.25">
      <c r="A5" s="6">
        <v>46115</v>
      </c>
      <c r="B5" s="7" t="s">
        <v>17</v>
      </c>
      <c r="C5" s="7">
        <v>1450</v>
      </c>
      <c r="D5" s="7" t="s">
        <v>18</v>
      </c>
      <c r="F5" s="10" t="s">
        <v>13</v>
      </c>
      <c r="G5" s="10">
        <f>MIN(C3:C32)</f>
        <v>180</v>
      </c>
    </row>
    <row r="6" spans="1:18" x14ac:dyDescent="0.25">
      <c r="A6" s="6">
        <v>46116</v>
      </c>
      <c r="B6" s="7" t="s">
        <v>15</v>
      </c>
      <c r="C6" s="7">
        <v>420</v>
      </c>
      <c r="D6" s="7" t="s">
        <v>4</v>
      </c>
      <c r="F6" s="10" t="s">
        <v>14</v>
      </c>
      <c r="G6" s="10">
        <f>COUNTA(A3:A32)</f>
        <v>30</v>
      </c>
    </row>
    <row r="7" spans="1:18" x14ac:dyDescent="0.25">
      <c r="A7" s="6">
        <v>46117</v>
      </c>
      <c r="B7" s="7" t="s">
        <v>20</v>
      </c>
      <c r="C7" s="7">
        <v>2200</v>
      </c>
      <c r="D7" s="7" t="s">
        <v>8</v>
      </c>
    </row>
    <row r="8" spans="1:18" x14ac:dyDescent="0.25">
      <c r="A8" s="6">
        <v>46118</v>
      </c>
      <c r="B8" s="7" t="s">
        <v>9</v>
      </c>
      <c r="C8" s="7">
        <v>850</v>
      </c>
      <c r="D8" s="7" t="s">
        <v>19</v>
      </c>
    </row>
    <row r="9" spans="1:18" ht="20.25" customHeight="1" x14ac:dyDescent="0.25">
      <c r="A9" s="6">
        <v>46119</v>
      </c>
      <c r="B9" s="7" t="s">
        <v>21</v>
      </c>
      <c r="C9" s="7">
        <v>950</v>
      </c>
      <c r="D9" s="7" t="s">
        <v>19</v>
      </c>
      <c r="F9" s="8" t="s">
        <v>1</v>
      </c>
      <c r="G9" s="8" t="s">
        <v>25</v>
      </c>
      <c r="R9" s="1" t="s">
        <v>26</v>
      </c>
    </row>
    <row r="10" spans="1:18" x14ac:dyDescent="0.25">
      <c r="A10" s="6">
        <v>46120</v>
      </c>
      <c r="B10" s="7" t="s">
        <v>15</v>
      </c>
      <c r="C10" s="7">
        <v>280</v>
      </c>
      <c r="D10" s="7" t="s">
        <v>4</v>
      </c>
      <c r="F10" s="9" t="s">
        <v>15</v>
      </c>
      <c r="G10" s="9">
        <f>SUMIF(B3:B32,F10,C3:C32)</f>
        <v>2420</v>
      </c>
      <c r="R10" s="2"/>
    </row>
    <row r="11" spans="1:18" x14ac:dyDescent="0.25">
      <c r="A11" s="6">
        <v>46121</v>
      </c>
      <c r="B11" s="7" t="s">
        <v>7</v>
      </c>
      <c r="C11" s="7">
        <v>2600</v>
      </c>
      <c r="D11" s="7" t="s">
        <v>19</v>
      </c>
      <c r="F11" s="9" t="s">
        <v>16</v>
      </c>
      <c r="G11" s="9">
        <f>SUMIF(B3:B32,F11,C3:C32)</f>
        <v>960</v>
      </c>
      <c r="R11" s="2" t="s">
        <v>27</v>
      </c>
    </row>
    <row r="12" spans="1:18" x14ac:dyDescent="0.25">
      <c r="A12" s="6">
        <v>46122</v>
      </c>
      <c r="B12" s="7" t="s">
        <v>16</v>
      </c>
      <c r="C12" s="7">
        <v>220</v>
      </c>
      <c r="D12" s="7" t="s">
        <v>6</v>
      </c>
      <c r="F12" s="9" t="s">
        <v>17</v>
      </c>
      <c r="G12" s="9">
        <f>SUMIF(B3:B32,F12,C3:C32)</f>
        <v>5030</v>
      </c>
      <c r="R12" s="2" t="s">
        <v>28</v>
      </c>
    </row>
    <row r="13" spans="1:18" x14ac:dyDescent="0.25">
      <c r="A13" s="6">
        <v>46123</v>
      </c>
      <c r="B13" s="7" t="s">
        <v>17</v>
      </c>
      <c r="C13" s="7">
        <v>980</v>
      </c>
      <c r="D13" s="7" t="s">
        <v>18</v>
      </c>
      <c r="F13" s="9" t="s">
        <v>20</v>
      </c>
      <c r="G13" s="9">
        <f>SUMIF(B3:B32,F13,C3:C32)</f>
        <v>3199</v>
      </c>
      <c r="R13" s="2" t="s">
        <v>29</v>
      </c>
    </row>
    <row r="14" spans="1:18" x14ac:dyDescent="0.25">
      <c r="A14" s="6">
        <v>46124</v>
      </c>
      <c r="B14" s="7" t="s">
        <v>22</v>
      </c>
      <c r="C14" s="7">
        <v>1800</v>
      </c>
      <c r="D14" s="7" t="s">
        <v>8</v>
      </c>
      <c r="F14" s="9" t="s">
        <v>9</v>
      </c>
      <c r="G14" s="9">
        <f t="shared" ref="G14:G20" si="0">SUMIF(B4:B33,F14,C4:C33)</f>
        <v>2500</v>
      </c>
      <c r="R14" s="2" t="s">
        <v>30</v>
      </c>
    </row>
    <row r="15" spans="1:18" x14ac:dyDescent="0.25">
      <c r="A15" s="6">
        <v>46125</v>
      </c>
      <c r="B15" s="7" t="s">
        <v>23</v>
      </c>
      <c r="C15" s="7">
        <v>499</v>
      </c>
      <c r="D15" s="7" t="s">
        <v>18</v>
      </c>
      <c r="F15" s="9" t="s">
        <v>21</v>
      </c>
      <c r="G15" s="9">
        <f t="shared" si="0"/>
        <v>3550</v>
      </c>
      <c r="R15" s="2" t="s">
        <v>31</v>
      </c>
    </row>
    <row r="16" spans="1:18" x14ac:dyDescent="0.25">
      <c r="A16" s="6">
        <v>46126</v>
      </c>
      <c r="B16" s="7" t="s">
        <v>15</v>
      </c>
      <c r="C16" s="7">
        <v>560</v>
      </c>
      <c r="D16" s="7" t="s">
        <v>4</v>
      </c>
      <c r="F16" s="9" t="s">
        <v>7</v>
      </c>
      <c r="G16" s="9">
        <f t="shared" si="0"/>
        <v>9600</v>
      </c>
    </row>
    <row r="17" spans="1:7" x14ac:dyDescent="0.25">
      <c r="A17" s="6">
        <v>46127</v>
      </c>
      <c r="B17" s="7" t="s">
        <v>24</v>
      </c>
      <c r="C17" s="7">
        <v>8000</v>
      </c>
      <c r="D17" s="7" t="s">
        <v>8</v>
      </c>
      <c r="F17" s="9" t="s">
        <v>23</v>
      </c>
      <c r="G17" s="9">
        <f t="shared" si="0"/>
        <v>1198</v>
      </c>
    </row>
    <row r="18" spans="1:7" x14ac:dyDescent="0.25">
      <c r="A18" s="6">
        <v>46128</v>
      </c>
      <c r="B18" s="7" t="s">
        <v>5</v>
      </c>
      <c r="C18" s="7">
        <v>3200</v>
      </c>
      <c r="D18" s="7" t="s">
        <v>19</v>
      </c>
      <c r="F18" s="9" t="s">
        <v>22</v>
      </c>
      <c r="G18" s="9">
        <f t="shared" si="0"/>
        <v>1800</v>
      </c>
    </row>
    <row r="19" spans="1:7" x14ac:dyDescent="0.25">
      <c r="A19" s="6">
        <v>46129</v>
      </c>
      <c r="B19" s="7" t="s">
        <v>17</v>
      </c>
      <c r="C19" s="7">
        <v>1250</v>
      </c>
      <c r="D19" s="7" t="s">
        <v>6</v>
      </c>
      <c r="F19" s="9" t="s">
        <v>24</v>
      </c>
      <c r="G19" s="9">
        <f t="shared" si="0"/>
        <v>8000</v>
      </c>
    </row>
    <row r="20" spans="1:7" x14ac:dyDescent="0.25">
      <c r="A20" s="6">
        <v>46130</v>
      </c>
      <c r="B20" s="7" t="s">
        <v>9</v>
      </c>
      <c r="C20" s="7">
        <v>700</v>
      </c>
      <c r="D20" s="7" t="s">
        <v>4</v>
      </c>
      <c r="F20" s="9" t="s">
        <v>5</v>
      </c>
      <c r="G20" s="9">
        <f t="shared" si="0"/>
        <v>3200</v>
      </c>
    </row>
    <row r="21" spans="1:7" x14ac:dyDescent="0.25">
      <c r="A21" s="6">
        <v>46131</v>
      </c>
      <c r="B21" s="7" t="s">
        <v>21</v>
      </c>
      <c r="C21" s="7">
        <v>1200</v>
      </c>
      <c r="D21" s="7" t="s">
        <v>19</v>
      </c>
    </row>
    <row r="22" spans="1:7" x14ac:dyDescent="0.25">
      <c r="A22" s="6">
        <v>46132</v>
      </c>
      <c r="B22" s="7" t="s">
        <v>7</v>
      </c>
      <c r="C22" s="7">
        <v>4200</v>
      </c>
      <c r="D22" s="7" t="s">
        <v>19</v>
      </c>
    </row>
    <row r="23" spans="1:7" x14ac:dyDescent="0.25">
      <c r="A23" s="6">
        <v>46133</v>
      </c>
      <c r="B23" s="7" t="s">
        <v>15</v>
      </c>
      <c r="C23" s="7">
        <v>450</v>
      </c>
      <c r="D23" s="7" t="s">
        <v>4</v>
      </c>
    </row>
    <row r="24" spans="1:7" x14ac:dyDescent="0.25">
      <c r="A24" s="6">
        <v>46134</v>
      </c>
      <c r="B24" s="7" t="s">
        <v>16</v>
      </c>
      <c r="C24" s="7">
        <v>260</v>
      </c>
      <c r="D24" s="7" t="s">
        <v>6</v>
      </c>
    </row>
    <row r="25" spans="1:7" x14ac:dyDescent="0.25">
      <c r="A25" s="6">
        <v>46135</v>
      </c>
      <c r="B25" s="7" t="s">
        <v>20</v>
      </c>
      <c r="C25" s="7">
        <v>999</v>
      </c>
      <c r="D25" s="7" t="s">
        <v>8</v>
      </c>
    </row>
    <row r="26" spans="1:7" x14ac:dyDescent="0.25">
      <c r="A26" s="6">
        <v>46136</v>
      </c>
      <c r="B26" s="7" t="s">
        <v>7</v>
      </c>
      <c r="C26" s="7">
        <v>2800</v>
      </c>
      <c r="D26" s="7" t="s">
        <v>19</v>
      </c>
    </row>
    <row r="27" spans="1:7" x14ac:dyDescent="0.25">
      <c r="A27" s="6">
        <v>46137</v>
      </c>
      <c r="B27" s="7" t="s">
        <v>17</v>
      </c>
      <c r="C27" s="7">
        <v>1350</v>
      </c>
      <c r="D27" s="7" t="s">
        <v>18</v>
      </c>
    </row>
    <row r="28" spans="1:7" x14ac:dyDescent="0.25">
      <c r="A28" s="6">
        <v>46138</v>
      </c>
      <c r="B28" s="7" t="s">
        <v>23</v>
      </c>
      <c r="C28" s="7">
        <v>699</v>
      </c>
      <c r="D28" s="7" t="s">
        <v>18</v>
      </c>
      <c r="F28" s="4"/>
    </row>
    <row r="29" spans="1:7" x14ac:dyDescent="0.25">
      <c r="A29" s="6">
        <v>46139</v>
      </c>
      <c r="B29" s="7" t="s">
        <v>15</v>
      </c>
      <c r="C29" s="7">
        <v>390</v>
      </c>
      <c r="D29" s="7" t="s">
        <v>4</v>
      </c>
    </row>
    <row r="30" spans="1:7" x14ac:dyDescent="0.25">
      <c r="A30" s="6">
        <v>46140</v>
      </c>
      <c r="B30" s="7" t="s">
        <v>21</v>
      </c>
      <c r="C30" s="7">
        <v>1400</v>
      </c>
      <c r="D30" s="7" t="s">
        <v>19</v>
      </c>
    </row>
    <row r="31" spans="1:7" x14ac:dyDescent="0.25">
      <c r="A31" s="6">
        <v>46141</v>
      </c>
      <c r="B31" s="7" t="s">
        <v>9</v>
      </c>
      <c r="C31" s="7">
        <v>950</v>
      </c>
      <c r="D31" s="7" t="s">
        <v>4</v>
      </c>
    </row>
    <row r="32" spans="1:7" x14ac:dyDescent="0.25">
      <c r="A32" s="6">
        <v>46142</v>
      </c>
      <c r="B32" s="7" t="s">
        <v>16</v>
      </c>
      <c r="C32" s="7">
        <v>300</v>
      </c>
      <c r="D32" s="7" t="s">
        <v>6</v>
      </c>
    </row>
  </sheetData>
  <conditionalFormatting sqref="C3:C32">
    <cfRule type="cellIs" dxfId="1" priority="1" operator="between">
      <formula>1000</formula>
      <formula>3000</formula>
    </cfRule>
    <cfRule type="cellIs" priority="2" operator="between">
      <formula>1000</formula>
      <formula>3000</formula>
    </cfRule>
    <cfRule type="cellIs" dxfId="0" priority="3" operator="greaterThan">
      <formula>3000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Yaswanthika Dhanasekar</dc:creator>
  <cp:lastModifiedBy>Yaswanthika Dhanasekar</cp:lastModifiedBy>
  <dcterms:created xsi:type="dcterms:W3CDTF">2026-05-28T14:15:33Z</dcterms:created>
  <dcterms:modified xsi:type="dcterms:W3CDTF">2026-05-28T16:47:28Z</dcterms:modified>
</cp:coreProperties>
</file>